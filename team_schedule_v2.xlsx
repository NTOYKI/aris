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Οδηγίες" sheetId="1" state="visible" r:id="rId1"/>
    <sheet name="Παράμετροι" sheetId="2" state="visible" r:id="rId2"/>
    <sheet name="Εβδομαδιαίο Πρόγραμμ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.5"/>
    </font>
    <font>
      <name val="Arial"/>
      <b val="1"/>
      <color rgb="001F4E78"/>
      <sz val="12"/>
    </font>
    <font>
      <name val="Arial"/>
      <b val="1"/>
      <color rgb="00000000"/>
    </font>
    <font>
      <name val="Arial"/>
      <b val="1"/>
      <color rgb="000000FF"/>
    </font>
    <font>
      <name val="Arial"/>
      <b val="1"/>
      <color rgb="00FFFFFF"/>
    </font>
    <font>
      <name val="Arial"/>
      <color rgb="00000000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0" pivotButton="0" quotePrefix="0" xfId="0"/>
    <xf numFmtId="164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7E6E6"/>
          <bgColor rgb="00E7E6E6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6" customHeight="1">
      <c r="A1" s="1" t="inlineStr">
        <is>
          <t>ΠΡΟΓΡΑΜΜΑ ΝΑΥΑΓΟΣΩΣΤΩΝ – Οδηγίες</t>
        </is>
      </c>
    </row>
    <row r="2" ht="16" customHeight="1">
      <c r="A2" s="2" t="inlineStr"/>
    </row>
    <row r="3" ht="16" customHeight="1">
      <c r="A3" s="3" t="inlineStr">
        <is>
          <t>ΤΙ ΦΤΙΑΞΑΜΕ</t>
        </is>
      </c>
    </row>
    <row r="4" ht="30" customHeight="1">
      <c r="A4" s="2" t="inlineStr">
        <is>
          <t>Ένα εβδομαδιαίο πρόγραμμα για 6 ναυαγοσώστες: Γιάννης, Γιώτα, Ραφαήλ, Άρης, Οδυσσέας, Κώστας — σε 4 θέσεις: Μπουσουλάς, Infinity Pool, Main Pool, Splash Pool. Οι ημερομηνίες ενημερώνονται μόνες τους κάθε εβδομάδα (ξεκινούν πάντα από την επόμενη/τρέχουσα Δευτέρα).</t>
        </is>
      </c>
    </row>
    <row r="5" ht="16" customHeight="1">
      <c r="A5" s="2" t="inlineStr"/>
    </row>
    <row r="6" ht="16" customHeight="1">
      <c r="A6" s="3" t="inlineStr">
        <is>
          <t>ΚΑΝΟΝΕΣ ΠΟΥ ΕΧΟΥΝ ΚΩΔΙΚΟΠΟΙΗΘΕΙ</t>
        </is>
      </c>
    </row>
    <row r="7" ht="16" customHeight="1">
      <c r="A7" s="2" t="inlineStr">
        <is>
          <t>• Ο Γιάννης είναι πάντα στον Μπουσουλάς όποτε δουλεύει.</t>
        </is>
      </c>
    </row>
    <row r="8" ht="16" customHeight="1">
      <c r="A8" s="2" t="inlineStr">
        <is>
          <t>• Ο Οδυσσέας είναι πάντα στο Infinity Pool όποτε δουλεύει.</t>
        </is>
      </c>
    </row>
    <row r="9" ht="30" customHeight="1">
      <c r="A9" s="2" t="inlineStr">
        <is>
          <t>• Καθένας δουλεύει 6 μέρες/εβδομάδα, δηλ. έχει 1 ρεπό/εβδομάδα (ρυθμίζεται στο φύλλο «Παράμετροι»).</t>
        </is>
      </c>
    </row>
    <row r="10" ht="30" customHeight="1">
      <c r="A10" s="2" t="inlineStr">
        <is>
          <t>• Την ημέρα ΠΡΙΝ το δικό του ρεπό, ο καθένας κάνει «Άνοιγμα» (πρωινή βάρδια 9:00-17:30). Τις υπόλοιπες εργάσιμες μέρες κάνει «Κλείσιμο» (10:30-19:00).</t>
        </is>
      </c>
    </row>
    <row r="11" ht="30" customHeight="1">
      <c r="A11" s="2" t="inlineStr">
        <is>
          <t>• Εξαίρεση: τις κανονικές του μέρες (όχι πριν το ρεπό) ο Γιάννης δουλεύει 9:30-18:00 στον Μπουσουλάς.</t>
        </is>
      </c>
    </row>
    <row r="12" ht="30" customHeight="1">
      <c r="A12" s="2" t="inlineStr">
        <is>
          <t>• Στο ρεπό του Γιάννη, ο Οδυσσέας καλύπτει τον Μπουσουλάς (κι έτσι το Infinity Pool μένει χωρίς τον Οδυσσέα εκείνη τη μέρα).</t>
        </is>
      </c>
    </row>
    <row r="13" ht="30" customHeight="1">
      <c r="A13" s="2" t="inlineStr">
        <is>
          <t>• Όποτε ο Οδυσσέας λείπει από το Infinity Pool (ρεπό ή κάλυψη παραλίας), το Infinity Pool καλύπτεται από τον ναυαγοσώστη που έχεις ορίσει στο πεδίο «Κάλυψη Infinity Pool».</t>
        </is>
      </c>
    </row>
    <row r="14" ht="16" customHeight="1">
      <c r="A14" s="2" t="inlineStr">
        <is>
          <t>• Οι υπόλοιποι (Γιώτα, Ραφαήλ, Άρης, Κώστας) εναλλάσσονται στο Main Pool και στο Splash Pool.</t>
        </is>
      </c>
    </row>
    <row r="15" ht="30" customHeight="1">
      <c r="A15" s="2" t="inlineStr">
        <is>
          <t>• Απαιτούνται τουλάχιστον 1 άτομο σε βάρδια «Άνοιγμα» και τουλάχιστον 3 άτομα σε βάρδια «Κλείσιμο», κάθε μέρα — ελέγχεται αυτόματα στο κάτω μέρος του φύλλου «Εβδομαδιαίο Πρόγραμμα».</t>
        </is>
      </c>
    </row>
    <row r="16" ht="16" customHeight="1">
      <c r="A16" s="2" t="inlineStr"/>
    </row>
    <row r="17" ht="16" customHeight="1">
      <c r="A17" s="3" t="inlineStr">
        <is>
          <t>ΧΡΩΜΑΤΙΚΟΣ ΚΩΔΙΚΑΣ ΣΤΟΝ ΒΟΗΘΗΤΙΚΟ ΠΙΝΑΚΑ ΩΡΩΝ</t>
        </is>
      </c>
    </row>
    <row r="18" ht="16" customHeight="1">
      <c r="A18" s="2" t="inlineStr">
        <is>
          <t>• Γαλάζιο = βάρδια Ανοίγματος. Ροζ/πορτοκαλί = βάρδια Κλεισίματος. Γκρι = Ρεπό.</t>
        </is>
      </c>
    </row>
    <row r="19" ht="16" customHeight="1">
      <c r="A19" s="2" t="inlineStr"/>
    </row>
    <row r="20" ht="16" customHeight="1">
      <c r="A20" s="3" t="inlineStr">
        <is>
          <t>ΣΗΜΑΝΤΙΚΗ ΕΠΙΣΗΜΑΝΣΗ ΓΙΑ ΤΙΣ ΜΕΡΕΣ ΧΩΡΙΣ ΦΥΣΙΚΟ «ΑΝΟΙΓΜΑ»</t>
        </is>
      </c>
    </row>
    <row r="21" ht="30" customHeight="1">
      <c r="A21" s="2" t="inlineStr">
        <is>
          <t>Με 6 άτομα σε 7 μέρες, κάποιες μέρες της εβδομάδας μπορεί να μην έχει κανείς ρεπό την επόμενη μέρα, οπότε κανείς δεν θα άνοιγε φυσικά. Σε αυτές τις μέρες ανοίγει αυτόματα ο «Εφεδρικός ανοίγματος» που έχεις ορίσει στις Παραμέτρους (προεπιλογή: Κώστας). Αν δεις ότι ανοίγει πολύ συχνά, σκέψου να αλλάξεις τα ρεπό ή τον εφεδρικό ώστε να μοιράζεται πιο δίκαια.</t>
        </is>
      </c>
    </row>
    <row r="22" ht="16" customHeight="1">
      <c r="A22" s="2" t="inlineStr"/>
    </row>
    <row r="23" ht="16" customHeight="1">
      <c r="A23" s="3" t="inlineStr">
        <is>
          <t>ΤΙ ΝΑ ΣΥΜΠΛΗΡΩΣΕΙΣ (μπλε κελιά στο φύλλο «Παράμετροι»)</t>
        </is>
      </c>
    </row>
    <row r="24" ht="16" customHeight="1">
      <c r="A24" s="2" t="inlineStr">
        <is>
          <t>1. Ρεπό κάθε ατόμου (dropdown με μέρες εβδομάδας).</t>
        </is>
      </c>
    </row>
    <row r="25" ht="16" customHeight="1">
      <c r="A25" s="2" t="inlineStr">
        <is>
          <t>2. Ποιος καλύπτει το Infinity Pool στην απουσία του Οδυσσέα.</t>
        </is>
      </c>
    </row>
    <row r="26" ht="16" customHeight="1">
      <c r="A26" s="2" t="inlineStr">
        <is>
          <t>3. Ποιος είναι ο εφεδρικός ανοίγματος για μέρες χωρίς φυσικό ανοιχτή.</t>
        </is>
      </c>
    </row>
    <row r="27" ht="16" customHeight="1">
      <c r="A27" s="2" t="inlineStr">
        <is>
          <t>4. Τις ώρες (άνοιγμα/κλείσιμο/ωράριο Γιάννη) αν αλλάξουν ποτέ.</t>
        </is>
      </c>
    </row>
    <row r="28" ht="16" customHeight="1">
      <c r="A28" s="2" t="inlineStr"/>
    </row>
    <row r="29" ht="30" customHeight="1">
      <c r="A29" s="2" t="inlineStr">
        <is>
          <t>Αν κάτι δεν σε καλύπτει, μπορείς να γράψεις χειροκίνητα πάνω σε οποιοδήποτε κελί του «Εβδομαδιαίου Προγράμματος».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6" customHeight="1">
      <c r="A1" s="1" t="inlineStr">
        <is>
          <t>ΠΑΡΑΜΕΤΡΟΙ ΠΡΟΓΡΑΜΜΑΤΟΣ</t>
        </is>
      </c>
    </row>
    <row r="3">
      <c r="A3" s="4" t="inlineStr">
        <is>
          <t>Εβδομάδα από (Δευτέρα)</t>
        </is>
      </c>
      <c r="B3" s="5">
        <f>TODAY()-WEEKDAY(TODAY(),2)+1</f>
        <v/>
      </c>
    </row>
    <row r="6">
      <c r="A6" s="6" t="inlineStr">
        <is>
          <t>Ναυαγοσώστης</t>
        </is>
      </c>
      <c r="B6" s="6" t="inlineStr">
        <is>
          <t>Ρεπό (ημέρα)</t>
        </is>
      </c>
    </row>
    <row r="7">
      <c r="A7" s="7" t="inlineStr">
        <is>
          <t>Γιάννης</t>
        </is>
      </c>
      <c r="B7" s="8" t="inlineStr">
        <is>
          <t>Κυριακή</t>
        </is>
      </c>
    </row>
    <row r="8">
      <c r="A8" s="7" t="inlineStr">
        <is>
          <t>Γιώτα</t>
        </is>
      </c>
      <c r="B8" s="8" t="inlineStr">
        <is>
          <t>Δευτέρα</t>
        </is>
      </c>
    </row>
    <row r="9">
      <c r="A9" s="7" t="inlineStr">
        <is>
          <t>Ραφαήλ</t>
        </is>
      </c>
      <c r="B9" s="8" t="inlineStr">
        <is>
          <t>Τρίτη</t>
        </is>
      </c>
    </row>
    <row r="10">
      <c r="A10" s="7" t="inlineStr">
        <is>
          <t>Άρης</t>
        </is>
      </c>
      <c r="B10" s="8" t="inlineStr">
        <is>
          <t>Τετάρτη</t>
        </is>
      </c>
    </row>
    <row r="11">
      <c r="A11" s="7" t="inlineStr">
        <is>
          <t>Οδυσσέας</t>
        </is>
      </c>
      <c r="B11" s="8" t="inlineStr">
        <is>
          <t>Πέμπτη</t>
        </is>
      </c>
    </row>
    <row r="12">
      <c r="A12" s="7" t="inlineStr">
        <is>
          <t>Κώστας</t>
        </is>
      </c>
      <c r="B12" s="8" t="inlineStr">
        <is>
          <t>Παρασκευή</t>
        </is>
      </c>
    </row>
    <row r="14">
      <c r="A14" s="4" t="inlineStr">
        <is>
          <t>Κάλυψη Infinity Pool</t>
        </is>
      </c>
      <c r="B14" s="9" t="inlineStr">
        <is>
          <t>Ραφαήλ</t>
        </is>
      </c>
    </row>
    <row r="15">
      <c r="A15" s="4" t="inlineStr">
        <is>
          <t>Εφεδρικός Ανοίγματος</t>
        </is>
      </c>
      <c r="B15" s="9" t="inlineStr">
        <is>
          <t>Κώστας</t>
        </is>
      </c>
    </row>
    <row r="17">
      <c r="A17" s="4" t="inlineStr">
        <is>
          <t>Ώρες Άνοιγμα</t>
        </is>
      </c>
      <c r="B17" s="9" t="inlineStr">
        <is>
          <t>9:00-17:30</t>
        </is>
      </c>
    </row>
    <row r="18">
      <c r="A18" s="4" t="inlineStr">
        <is>
          <t>Ώρες Κλείσιμο</t>
        </is>
      </c>
      <c r="B18" s="9" t="inlineStr">
        <is>
          <t>10:30-19:00</t>
        </is>
      </c>
    </row>
    <row r="19">
      <c r="A19" s="4" t="inlineStr">
        <is>
          <t>Γιάννης (κανονικά)</t>
        </is>
      </c>
      <c r="B19" s="9" t="inlineStr">
        <is>
          <t>9:30-18:00</t>
        </is>
      </c>
    </row>
  </sheetData>
  <mergeCells count="1">
    <mergeCell ref="A1:B1"/>
  </mergeCells>
  <dataValidations count="2">
    <dataValidation sqref="B7 B8 B9 B10 B11 B12" showDropDown="0" showInputMessage="0" showErrorMessage="0" allowBlank="0" type="list">
      <formula1>"Δευτέρα,Τρίτη,Τετάρτη,Πέμπτη,Παρασκευή,Σάββατο,Κυριακή"</formula1>
    </dataValidation>
    <dataValidation sqref="B14 B15" showDropDown="0" showInputMessage="0" showErrorMessage="0" allowBlank="0" type="list">
      <formula1>"Γιάννης,Γιώτα,Ραφαήλ,Άρης,Οδυσσέας,Κώστας"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ΕΒΔΟΜΑΔΙΑΙΟ ΠΡΟΓΡΑΜΜΑ</t>
        </is>
      </c>
    </row>
    <row r="3">
      <c r="A3" s="6" t="inlineStr">
        <is>
          <t>Ημέρα</t>
        </is>
      </c>
      <c r="B3" s="6" t="inlineStr">
        <is>
          <t>Ημ/νία</t>
        </is>
      </c>
      <c r="C3" s="6" t="inlineStr">
        <is>
          <t>Δευτέρα</t>
        </is>
      </c>
      <c r="D3" s="6" t="inlineStr">
        <is>
          <t>Τρίτη</t>
        </is>
      </c>
      <c r="E3" s="6" t="inlineStr">
        <is>
          <t>Τετάρτη</t>
        </is>
      </c>
      <c r="F3" s="6" t="inlineStr">
        <is>
          <t>Πέμπτη</t>
        </is>
      </c>
      <c r="G3" s="6" t="inlineStr">
        <is>
          <t>Παρασκευή</t>
        </is>
      </c>
      <c r="H3" s="6" t="inlineStr">
        <is>
          <t>Σάββατο</t>
        </is>
      </c>
      <c r="I3" s="6" t="inlineStr">
        <is>
          <t>Κυριακή</t>
        </is>
      </c>
    </row>
    <row r="4">
      <c r="A4" s="6" t="n"/>
      <c r="B4" s="6" t="n"/>
      <c r="C4" s="10">
        <f>Παράμετροι!$B$3</f>
        <v/>
      </c>
      <c r="D4" s="10">
        <f>C4+1</f>
        <v/>
      </c>
      <c r="E4" s="10">
        <f>D4+1</f>
        <v/>
      </c>
      <c r="F4" s="10">
        <f>E4+1</f>
        <v/>
      </c>
      <c r="G4" s="10">
        <f>F4+1</f>
        <v/>
      </c>
      <c r="H4" s="10">
        <f>G4+1</f>
        <v/>
      </c>
      <c r="I4" s="10">
        <f>H4+1</f>
        <v/>
      </c>
    </row>
    <row r="11">
      <c r="A11" s="4" t="inlineStr">
        <is>
          <t>ΦΥΣΙΚΕΣ ΒΑΡΔΙΕΣ</t>
        </is>
      </c>
    </row>
    <row r="12">
      <c r="A12" s="11" t="inlineStr">
        <is>
          <t>Γιάννης</t>
        </is>
      </c>
      <c r="C12" s="12">
        <f>IF(C$3=Παράμετροι!$B$7,"Ρεπό",IF(D$3=Παράμετροι!$B$7,"Άνοιγμα","Κλείσιμο"))</f>
        <v/>
      </c>
      <c r="D12" s="12">
        <f>IF(D$3=Παράμετροι!$B$7,"Ρεπό",IF(E$3=Παράμετροι!$B$7,"Άνοιγμα","Κλείσιμο"))</f>
        <v/>
      </c>
      <c r="E12" s="12">
        <f>IF(E$3=Παράμετροι!$B$7,"Ρεπό",IF(F$3=Παράμετροι!$B$7,"Άνοιγμα","Κλείσιμο"))</f>
        <v/>
      </c>
      <c r="F12" s="12">
        <f>IF(F$3=Παράμετροι!$B$7,"Ρεπό",IF(G$3=Παράμετροι!$B$7,"Άνοιγμα","Κλείσιμο"))</f>
        <v/>
      </c>
      <c r="G12" s="12">
        <f>IF(G$3=Παράμετροι!$B$7,"Ρεπό",IF(H$3=Παράμετροι!$B$7,"Άνοιγμα","Κλείσιμο"))</f>
        <v/>
      </c>
      <c r="H12" s="12">
        <f>IF(H$3=Παράμετροι!$B$7,"Ρεπό",IF(I$3=Παράμετροι!$B$7,"Άνοιγμα","Κλείσιμο"))</f>
        <v/>
      </c>
      <c r="I12" s="12">
        <f>IF(I$3=Παράμετροι!$B$7,"Ρεπό",IF(C$3=Παράμετροι!$B$7,"Άνοιγμα","Κλείσιμο"))</f>
        <v/>
      </c>
    </row>
    <row r="13">
      <c r="A13" s="11" t="inlineStr">
        <is>
          <t>Γιώτα</t>
        </is>
      </c>
      <c r="C13" s="12">
        <f>IF(C$3=Παράμετροι!$B$8,"Ρεπό",IF(D$3=Παράμετροι!$B$8,"Άνοιγμα","Κλείσιμο"))</f>
        <v/>
      </c>
      <c r="D13" s="12">
        <f>IF(D$3=Παράμετροι!$B$8,"Ρεπό",IF(E$3=Παράμετροι!$B$8,"Άνοιγμα","Κλείσιμο"))</f>
        <v/>
      </c>
      <c r="E13" s="12">
        <f>IF(E$3=Παράμετροι!$B$8,"Ρεπό",IF(F$3=Παράμετροι!$B$8,"Άνοιγμα","Κλείσιμο"))</f>
        <v/>
      </c>
      <c r="F13" s="12">
        <f>IF(F$3=Παράμετροι!$B$8,"Ρεπό",IF(G$3=Παράμετροι!$B$8,"Άνοιγμα","Κλείσιμο"))</f>
        <v/>
      </c>
      <c r="G13" s="12">
        <f>IF(G$3=Παράμετροι!$B$8,"Ρεπό",IF(H$3=Παράμετροι!$B$8,"Άνοιγμα","Κλείσιμο"))</f>
        <v/>
      </c>
      <c r="H13" s="12">
        <f>IF(H$3=Παράμετροι!$B$8,"Ρεπό",IF(I$3=Παράμετροι!$B$8,"Άνοιγμα","Κλείσιμο"))</f>
        <v/>
      </c>
      <c r="I13" s="12">
        <f>IF(I$3=Παράμετροι!$B$8,"Ρεπό",IF(C$3=Παράμετροι!$B$8,"Άνοιγμα","Κλείσιμο"))</f>
        <v/>
      </c>
    </row>
    <row r="14">
      <c r="A14" s="11" t="inlineStr">
        <is>
          <t>Ραφαήλ</t>
        </is>
      </c>
      <c r="C14" s="12">
        <f>IF(C$3=Παράμετροι!$B$9,"Ρεπό",IF(D$3=Παράμετροι!$B$9,"Άνοιγμα","Κλείσιμο"))</f>
        <v/>
      </c>
      <c r="D14" s="12">
        <f>IF(D$3=Παράμετροι!$B$9,"Ρεπό",IF(E$3=Παράμετροι!$B$9,"Άνοιγμα","Κλείσιμο"))</f>
        <v/>
      </c>
      <c r="E14" s="12">
        <f>IF(E$3=Παράμετροι!$B$9,"Ρεπό",IF(F$3=Παράμετροι!$B$9,"Άνοιγμα","Κλείσιμο"))</f>
        <v/>
      </c>
      <c r="F14" s="12">
        <f>IF(F$3=Παράμετροι!$B$9,"Ρεπό",IF(G$3=Παράμετροι!$B$9,"Άνοιγμα","Κλείσιμο"))</f>
        <v/>
      </c>
      <c r="G14" s="12">
        <f>IF(G$3=Παράμετροι!$B$9,"Ρεπό",IF(H$3=Παράμετροι!$B$9,"Άνοιγμα","Κλείσιμο"))</f>
        <v/>
      </c>
      <c r="H14" s="12">
        <f>IF(H$3=Παράμετροι!$B$9,"Ρεπό",IF(I$3=Παράμετροι!$B$9,"Άνοιγμα","Κλείσιμο"))</f>
        <v/>
      </c>
      <c r="I14" s="12">
        <f>IF(I$3=Παράμετροι!$B$9,"Ρεπό",IF(C$3=Παράμετροι!$B$9,"Άνοιγμα","Κλείσιμο"))</f>
        <v/>
      </c>
    </row>
    <row r="15">
      <c r="A15" s="11" t="inlineStr">
        <is>
          <t>Άρης</t>
        </is>
      </c>
      <c r="C15" s="12">
        <f>IF(C$3=Παράμετροι!$B$10,"Ρεπό",IF(D$3=Παράμετροι!$B$10,"Άνοιγμα","Κλείσιμο"))</f>
        <v/>
      </c>
      <c r="D15" s="12">
        <f>IF(D$3=Παράμετροι!$B$10,"Ρεπό",IF(E$3=Παράμετροι!$B$10,"Άνοιγμα","Κλείσιμο"))</f>
        <v/>
      </c>
      <c r="E15" s="12">
        <f>IF(E$3=Παράμετροι!$B$10,"Ρεπό",IF(F$3=Παράμετροι!$B$10,"Άνοιγμα","Κλείσιμο"))</f>
        <v/>
      </c>
      <c r="F15" s="12">
        <f>IF(F$3=Παράμετροι!$B$10,"Ρεπό",IF(G$3=Παράμετροι!$B$10,"Άνοιγμα","Κλείσιμο"))</f>
        <v/>
      </c>
      <c r="G15" s="12">
        <f>IF(G$3=Παράμετροι!$B$10,"Ρεπό",IF(H$3=Παράμετροι!$B$10,"Άνοιγμα","Κλείσιμο"))</f>
        <v/>
      </c>
      <c r="H15" s="12">
        <f>IF(H$3=Παράμετροι!$B$10,"Ρεπό",IF(I$3=Παράμετροι!$B$10,"Άνοιγμα","Κλείσιμο"))</f>
        <v/>
      </c>
      <c r="I15" s="12">
        <f>IF(I$3=Παράμετροι!$B$10,"Ρεπό",IF(C$3=Παράμετροι!$B$10,"Άνοιγμα","Κλείσιμο"))</f>
        <v/>
      </c>
    </row>
    <row r="16">
      <c r="A16" s="11" t="inlineStr">
        <is>
          <t>Οδυσσέας</t>
        </is>
      </c>
      <c r="C16" s="12">
        <f>IF(C$3=Παράμετροι!$B$11,"Ρεπό",IF(D$3=Παράμετροι!$B$11,"Άνοιγμα","Κλείσιμο"))</f>
        <v/>
      </c>
      <c r="D16" s="12">
        <f>IF(D$3=Παράμετροι!$B$11,"Ρεπό",IF(E$3=Παράμετροι!$B$11,"Άνοιγμα","Κλείσιμο"))</f>
        <v/>
      </c>
      <c r="E16" s="12">
        <f>IF(E$3=Παράμετροι!$B$11,"Ρεπό",IF(F$3=Παράμετροι!$B$11,"Άνοιγμα","Κλείσιμο"))</f>
        <v/>
      </c>
      <c r="F16" s="12">
        <f>IF(F$3=Παράμετροι!$B$11,"Ρεπό",IF(G$3=Παράμετροι!$B$11,"Άνοιγμα","Κλείσιμο"))</f>
        <v/>
      </c>
      <c r="G16" s="12">
        <f>IF(G$3=Παράμετροι!$B$11,"Ρεπό",IF(H$3=Παράμετροι!$B$11,"Άνοιγμα","Κλείσιμο"))</f>
        <v/>
      </c>
      <c r="H16" s="12">
        <f>IF(H$3=Παράμετροι!$B$11,"Ρεπό",IF(I$3=Παράμετροι!$B$11,"Άνοιγμα","Κλείσιμο"))</f>
        <v/>
      </c>
      <c r="I16" s="12">
        <f>IF(I$3=Παράμετροι!$B$11,"Ρεπό",IF(C$3=Παράμετροι!$B$11,"Άνοιγμα","Κλείσιμο"))</f>
        <v/>
      </c>
    </row>
    <row r="17">
      <c r="A17" s="11" t="inlineStr">
        <is>
          <t>Κώστας</t>
        </is>
      </c>
      <c r="C17" s="12">
        <f>IF(C$3=Παράμετροι!$B$12,"Ρεπό",IF(D$3=Παράμετροι!$B$12,"Άνοιγμα","Κλείσιμο"))</f>
        <v/>
      </c>
      <c r="D17" s="12">
        <f>IF(D$3=Παράμετροι!$B$12,"Ρεπό",IF(E$3=Παράμετροι!$B$12,"Άνοιγμα","Κλείσιμο"))</f>
        <v/>
      </c>
      <c r="E17" s="12">
        <f>IF(E$3=Παράμετροι!$B$12,"Ρεπό",IF(F$3=Παράμετροι!$B$12,"Άνοιγμα","Κλείσιμο"))</f>
        <v/>
      </c>
      <c r="F17" s="12">
        <f>IF(F$3=Παράμετροι!$B$12,"Ρεπό",IF(G$3=Παράμετροι!$B$12,"Άνοιγμα","Κλείσιμο"))</f>
        <v/>
      </c>
      <c r="G17" s="12">
        <f>IF(G$3=Παράμετροι!$B$12,"Ρεπό",IF(H$3=Παράμετροι!$B$12,"Άνοιγμα","Κλείσιμο"))</f>
        <v/>
      </c>
      <c r="H17" s="12">
        <f>IF(H$3=Παράμετροι!$B$12,"Ρεπό",IF(I$3=Παράμετροι!$B$12,"Άνοιγμα","Κλείσιμο"))</f>
        <v/>
      </c>
      <c r="I17" s="12">
        <f>IF(I$3=Παράμετροι!$B$12,"Ρεπό",IF(C$3=Παράμετροι!$B$12,"Άνοιγμα","Κλείσιμο"))</f>
        <v/>
      </c>
    </row>
    <row r="18">
      <c r="C18" s="13">
        <f>COUNTIF(C12:C17,"Άνοιγμα")</f>
        <v/>
      </c>
      <c r="D18" s="13">
        <f>COUNTIF(D12:D17,"Άνοιγμα")</f>
        <v/>
      </c>
      <c r="E18" s="13">
        <f>COUNTIF(E12:E17,"Άνοιγμα")</f>
        <v/>
      </c>
      <c r="F18" s="13">
        <f>COUNTIF(F12:F17,"Άνοιγμα")</f>
        <v/>
      </c>
      <c r="G18" s="13">
        <f>COUNTIF(G12:G17,"Άνοιγμα")</f>
        <v/>
      </c>
      <c r="H18" s="13">
        <f>COUNTIF(H12:H17,"Άνοιγμα")</f>
        <v/>
      </c>
      <c r="I18" s="13">
        <f>COUNTIF(I12:I17,"Άνοιγμα")</f>
        <v/>
      </c>
    </row>
    <row r="19">
      <c r="A19" s="4" t="inlineStr">
        <is>
          <t>ΤΕΛΙΚΕΣ ΒΑΡΔΙΕΣ</t>
        </is>
      </c>
    </row>
    <row r="20">
      <c r="A20" s="11" t="inlineStr">
        <is>
          <t>Γιάννης</t>
        </is>
      </c>
      <c r="C20" s="12">
        <f>IF(C$3=Παράμετροι!$B$7,"Ρεπό",IF(D$3=Παράμετροι!$B$7,"Άνοιγμα",IF(AND(C$18=0,$A20=Παράμετροι!$B$15,C12="Κλείσιμο"),"Άνοιγμα",C12)))</f>
        <v/>
      </c>
      <c r="D20" s="12">
        <f>IF(D$3=Παράμετροι!$B$7,"Ρεπό",IF(E$3=Παράμετροι!$B$7,"Άνοιγμα",IF(AND(D$18=0,$A20=Παράμετροι!$B$15,D12="Κλείσιμο"),"Άνοιγμα",D12)))</f>
        <v/>
      </c>
      <c r="E20" s="12">
        <f>IF(E$3=Παράμετροι!$B$7,"Ρεπό",IF(F$3=Παράμετροι!$B$7,"Άνοιγμα",IF(AND(E$18=0,$A20=Παράμετροι!$B$15,E12="Κλείσιμο"),"Άνοιγμα",E12)))</f>
        <v/>
      </c>
      <c r="F20" s="12">
        <f>IF(F$3=Παράμετροι!$B$7,"Ρεπό",IF(G$3=Παράμετροι!$B$7,"Άνοιγμα",IF(AND(F$18=0,$A20=Παράμετροι!$B$15,F12="Κλείσιμο"),"Άνοιγμα",F12)))</f>
        <v/>
      </c>
      <c r="G20" s="12">
        <f>IF(G$3=Παράμετροι!$B$7,"Ρεπό",IF(H$3=Παράμετροι!$B$7,"Άνοιγμα",IF(AND(G$18=0,$A20=Παράμετροι!$B$15,G12="Κλείσιμο"),"Άνοιγμα",G12)))</f>
        <v/>
      </c>
      <c r="H20" s="12">
        <f>IF(H$3=Παράμετροι!$B$7,"Ρεπό",IF(I$3=Παράμετροι!$B$7,"Άνοιγμα",IF(AND(H$18=0,$A20=Παράμετροι!$B$15,H12="Κλείσιμο"),"Άνοιγμα",H12)))</f>
        <v/>
      </c>
      <c r="I20" s="12">
        <f>IF(I$3=Παράμετροι!$B$7,"Ρεπό",IF(C$3=Παράμετροι!$B$7,"Άνοιγμα",IF(AND(I$18=0,$A20=Παράμετροι!$B$15,I12="Κλείσιμο"),"Άνοιγμα",I12)))</f>
        <v/>
      </c>
    </row>
    <row r="21">
      <c r="A21" s="11" t="inlineStr">
        <is>
          <t>Γιώτα</t>
        </is>
      </c>
      <c r="C21" s="12">
        <f>IF(C$3=Παράμετροι!$B$8,"Ρεπό",IF(D$3=Παράμετροι!$B$8,"Άνοιγμα",IF(AND(C$18=0,$A21=Παράμετροι!$B$15,C13="Κλείσιμο"),"Άνοιγμα",C13)))</f>
        <v/>
      </c>
      <c r="D21" s="12">
        <f>IF(D$3=Παράμετροι!$B$8,"Ρεπό",IF(E$3=Παράμετροι!$B$8,"Άνοιγμα",IF(AND(D$18=0,$A21=Παράμετροι!$B$15,D13="Κλείσιμο"),"Άνοιγμα",D13)))</f>
        <v/>
      </c>
      <c r="E21" s="12">
        <f>IF(E$3=Παράμετροι!$B$8,"Ρεπό",IF(F$3=Παράμετροι!$B$8,"Άνοιγμα",IF(AND(E$18=0,$A21=Παράμετροι!$B$15,E13="Κλείσιμο"),"Άνοιγμα",E13)))</f>
        <v/>
      </c>
      <c r="F21" s="12">
        <f>IF(F$3=Παράμετροι!$B$8,"Ρεπό",IF(G$3=Παράμετροι!$B$8,"Άνοιγμα",IF(AND(F$18=0,$A21=Παράμετροι!$B$15,F13="Κλείσιμο"),"Άνοιγμα",F13)))</f>
        <v/>
      </c>
      <c r="G21" s="12">
        <f>IF(G$3=Παράμετροι!$B$8,"Ρεπό",IF(H$3=Παράμετροι!$B$8,"Άνοιγμα",IF(AND(G$18=0,$A21=Παράμετροι!$B$15,G13="Κλείσιμο"),"Άνοιγμα",G13)))</f>
        <v/>
      </c>
      <c r="H21" s="12">
        <f>IF(H$3=Παράμετροι!$B$8,"Ρεπό",IF(I$3=Παράμετροι!$B$8,"Άνοιγμα",IF(AND(H$18=0,$A21=Παράμετροι!$B$15,H13="Κλείσιμο"),"Άνοιγμα",H13)))</f>
        <v/>
      </c>
      <c r="I21" s="12">
        <f>IF(I$3=Παράμετροι!$B$8,"Ρεπό",IF(C$3=Παράμετροι!$B$8,"Άνοιγμα",IF(AND(I$18=0,$A21=Παράμετροι!$B$15,I13="Κλείσιμο"),"Άνοιγμα",I13)))</f>
        <v/>
      </c>
    </row>
    <row r="22">
      <c r="A22" s="11" t="inlineStr">
        <is>
          <t>Ραφαήλ</t>
        </is>
      </c>
      <c r="C22" s="12">
        <f>IF(C$3=Παράμετροι!$B$9,"Ρεπό",IF(D$3=Παράμετροι!$B$9,"Άνοιγμα",IF(AND(C$18=0,$A22=Παράμετροι!$B$15,C14="Κλείσιμο"),"Άνοιγμα",C14)))</f>
        <v/>
      </c>
      <c r="D22" s="12">
        <f>IF(D$3=Παράμετροι!$B$9,"Ρεπό",IF(E$3=Παράμετροι!$B$9,"Άνοιγμα",IF(AND(D$18=0,$A22=Παράμετροι!$B$15,D14="Κλείσιμο"),"Άνοιγμα",D14)))</f>
        <v/>
      </c>
      <c r="E22" s="12">
        <f>IF(E$3=Παράμετροι!$B$9,"Ρεπό",IF(F$3=Παράμετροι!$B$9,"Άνοιγμα",IF(AND(E$18=0,$A22=Παράμετροι!$B$15,E14="Κλείσιμο"),"Άνοιγμα",E14)))</f>
        <v/>
      </c>
      <c r="F22" s="12">
        <f>IF(F$3=Παράμετροι!$B$9,"Ρεπό",IF(G$3=Παράμετροι!$B$9,"Άνοιγμα",IF(AND(F$18=0,$A22=Παράμετροι!$B$15,F14="Κλείσιμο"),"Άνοιγμα",F14)))</f>
        <v/>
      </c>
      <c r="G22" s="12">
        <f>IF(G$3=Παράμετροι!$B$9,"Ρεπό",IF(H$3=Παράμετροι!$B$9,"Άνοιγμα",IF(AND(G$18=0,$A22=Παράμετροι!$B$15,G14="Κλείσιμο"),"Άνοιγμα",G14)))</f>
        <v/>
      </c>
      <c r="H22" s="12">
        <f>IF(H$3=Παράμετροι!$B$9,"Ρεπό",IF(I$3=Παράμετροι!$B$9,"Άνοιγμα",IF(AND(H$18=0,$A22=Παράμετροι!$B$15,H14="Κλείσιμο"),"Άνοιγμα",H14)))</f>
        <v/>
      </c>
      <c r="I22" s="12">
        <f>IF(I$3=Παράμετροι!$B$9,"Ρεπό",IF(C$3=Παράμετροι!$B$9,"Άνοιγμα",IF(AND(I$18=0,$A22=Παράμετροι!$B$15,I14="Κλείσιμο"),"Άνοιγμα",I14)))</f>
        <v/>
      </c>
    </row>
    <row r="23">
      <c r="A23" s="11" t="inlineStr">
        <is>
          <t>Άρης</t>
        </is>
      </c>
      <c r="C23" s="12">
        <f>IF(C$3=Παράμετροι!$B$10,"Ρεπό",IF(D$3=Παράμετροι!$B$10,"Άνοιγμα",IF(AND(C$18=0,$A23=Παράμετροι!$B$15,C15="Κλείσιμο"),"Άνοιγμα",C15)))</f>
        <v/>
      </c>
      <c r="D23" s="12">
        <f>IF(D$3=Παράμετροι!$B$10,"Ρεπό",IF(E$3=Παράμετροι!$B$10,"Άνοιγμα",IF(AND(D$18=0,$A23=Παράμετροι!$B$15,D15="Κλείσιμο"),"Άνοιγμα",D15)))</f>
        <v/>
      </c>
      <c r="E23" s="12">
        <f>IF(E$3=Παράμετροι!$B$10,"Ρεπό",IF(F$3=Παράμετροι!$B$10,"Άνοιγμα",IF(AND(E$18=0,$A23=Παράμετροι!$B$15,E15="Κλείσιμο"),"Άνοιγμα",E15)))</f>
        <v/>
      </c>
      <c r="F23" s="12">
        <f>IF(F$3=Παράμετροι!$B$10,"Ρεπό",IF(G$3=Παράμετροι!$B$10,"Άνοιγμα",IF(AND(F$18=0,$A23=Παράμετροι!$B$15,F15="Κλείσιμο"),"Άνοιγμα",F15)))</f>
        <v/>
      </c>
      <c r="G23" s="12">
        <f>IF(G$3=Παράμετροι!$B$10,"Ρεπό",IF(H$3=Παράμετροι!$B$10,"Άνοιγμα",IF(AND(G$18=0,$A23=Παράμετροι!$B$15,G15="Κλείσιμο"),"Άνοιγμα",G15)))</f>
        <v/>
      </c>
      <c r="H23" s="12">
        <f>IF(H$3=Παράμετροι!$B$10,"Ρεπό",IF(I$3=Παράμετροι!$B$10,"Άνοιγμα",IF(AND(H$18=0,$A23=Παράμετροι!$B$15,H15="Κλείσιμο"),"Άνοιγμα",H15)))</f>
        <v/>
      </c>
      <c r="I23" s="12">
        <f>IF(I$3=Παράμετροι!$B$10,"Ρεπό",IF(C$3=Παράμετροι!$B$10,"Άνοιγμα",IF(AND(I$18=0,$A23=Παράμετροι!$B$15,I15="Κλείσιμο"),"Άνοιγμα",I15)))</f>
        <v/>
      </c>
    </row>
    <row r="24">
      <c r="A24" s="11" t="inlineStr">
        <is>
          <t>Οδυσσέας</t>
        </is>
      </c>
      <c r="C24" s="12">
        <f>IF(C$3=Παράμετροι!$B$11,"Ρεπό",IF(D$3=Παράμετροι!$B$11,"Άνοιγμα",IF(AND(C$18=0,$A24=Παράμετροι!$B$15,C16="Κλείσιμο"),"Άνοιγμα",C16)))</f>
        <v/>
      </c>
      <c r="D24" s="12">
        <f>IF(D$3=Παράμετροι!$B$11,"Ρεπό",IF(E$3=Παράμετροι!$B$11,"Άνοιγμα",IF(AND(D$18=0,$A24=Παράμετροι!$B$15,D16="Κλείσιμο"),"Άνοιγμα",D16)))</f>
        <v/>
      </c>
      <c r="E24" s="12">
        <f>IF(E$3=Παράμετροι!$B$11,"Ρεπό",IF(F$3=Παράμετροι!$B$11,"Άνοιγμα",IF(AND(E$18=0,$A24=Παράμετροι!$B$15,E16="Κλείσιμο"),"Άνοιγμα",E16)))</f>
        <v/>
      </c>
      <c r="F24" s="12">
        <f>IF(F$3=Παράμετροι!$B$11,"Ρεπό",IF(G$3=Παράμετροι!$B$11,"Άνοιγμα",IF(AND(F$18=0,$A24=Παράμετροι!$B$15,F16="Κλείσιμο"),"Άνοιγμα",F16)))</f>
        <v/>
      </c>
      <c r="G24" s="12">
        <f>IF(G$3=Παράμετροι!$B$11,"Ρεπό",IF(H$3=Παράμετροι!$B$11,"Άνοιγμα",IF(AND(G$18=0,$A24=Παράμετροι!$B$15,G16="Κλείσιμο"),"Άνοιγμα",G16)))</f>
        <v/>
      </c>
      <c r="H24" s="12">
        <f>IF(H$3=Παράμετροι!$B$11,"Ρεπό",IF(I$3=Παράμετροι!$B$11,"Άνοιγμα",IF(AND(H$18=0,$A24=Παράμετροι!$B$15,H16="Κλείσιμο"),"Άνοιγμα",H16)))</f>
        <v/>
      </c>
      <c r="I24" s="12">
        <f>IF(I$3=Παράμετροι!$B$11,"Ρεπό",IF(C$3=Παράμετροι!$B$11,"Άνοιγμα",IF(AND(I$18=0,$A24=Παράμετροι!$B$15,I16="Κλείσιμο"),"Άνοιγμα",I16)))</f>
        <v/>
      </c>
    </row>
    <row r="25">
      <c r="A25" s="11" t="inlineStr">
        <is>
          <t>Κώστας</t>
        </is>
      </c>
      <c r="C25" s="12">
        <f>IF(C$3=Παράμετροι!$B$12,"Ρεπό",IF(D$3=Παράμετροι!$B$12,"Άνοιγμα",IF(AND(C$18=0,$A25=Παράμετροι!$B$15,C17="Κλείσιμο"),"Άνοιγμα",C17)))</f>
        <v/>
      </c>
      <c r="D25" s="12">
        <f>IF(D$3=Παράμετροι!$B$12,"Ρεπό",IF(E$3=Παράμετροι!$B$12,"Άνοιγμα",IF(AND(D$18=0,$A25=Παράμετροι!$B$15,D17="Κλείσιμο"),"Άνοιγμα",D17)))</f>
        <v/>
      </c>
      <c r="E25" s="12">
        <f>IF(E$3=Παράμετροι!$B$12,"Ρεπό",IF(F$3=Παράμετροι!$B$12,"Άνοιγμα",IF(AND(E$18=0,$A25=Παράμετροι!$B$15,E17="Κλείσιμο"),"Άνοιγμα",E17)))</f>
        <v/>
      </c>
      <c r="F25" s="12">
        <f>IF(F$3=Παράμετροι!$B$12,"Ρεπό",IF(G$3=Παράμετροι!$B$12,"Άνοιγμα",IF(AND(F$18=0,$A25=Παράμετροι!$B$15,F17="Κλείσιμο"),"Άνοιγμα",F17)))</f>
        <v/>
      </c>
      <c r="G25" s="12">
        <f>IF(G$3=Παράμετροι!$B$12,"Ρεπό",IF(H$3=Παράμετροι!$B$12,"Άνοιγμα",IF(AND(G$18=0,$A25=Παράμετροι!$B$15,G17="Κλείσιμο"),"Άνοιγμα",G17)))</f>
        <v/>
      </c>
      <c r="H25" s="12">
        <f>IF(H$3=Παράμετροι!$B$12,"Ρεπό",IF(I$3=Παράμετροι!$B$12,"Άνοιγμα",IF(AND(H$18=0,$A25=Παράμετροι!$B$15,H17="Κλείσιμο"),"Άνοιγμα",H17)))</f>
        <v/>
      </c>
      <c r="I25" s="12">
        <f>IF(I$3=Παράμετροι!$B$12,"Ρεπό",IF(C$3=Παράμετροι!$B$12,"Άνοιγμα",IF(AND(I$18=0,$A25=Παράμετροι!$B$15,I17="Κλείσιμο"),"Άνοιγμα",I17)))</f>
        <v/>
      </c>
    </row>
    <row r="27">
      <c r="A27" s="4" t="inlineStr">
        <is>
          <t>ΘΕΣΕΙΣ ΕΡΓΑΣΙΑΣ</t>
        </is>
      </c>
    </row>
    <row r="28">
      <c r="A28" s="11" t="inlineStr">
        <is>
          <t>Μπουσουλάς</t>
        </is>
      </c>
      <c r="C28" s="14">
        <f>IF(C20&lt;&gt;"Ρεπό","Γιάννης",IF(C24&lt;&gt;"Ρεπό","Οδυσσέας",""))</f>
        <v/>
      </c>
      <c r="D28" s="14">
        <f>IF(D20&lt;&gt;"Ρεπό","Γιάννης",IF(D24&lt;&gt;"Ρεπό","Οδυσσέας",""))</f>
        <v/>
      </c>
      <c r="E28" s="14">
        <f>IF(E20&lt;&gt;"Ρεπό","Γιάννης",IF(E24&lt;&gt;"Ρεπό","Οδυσσέας",""))</f>
        <v/>
      </c>
      <c r="F28" s="14">
        <f>IF(F20&lt;&gt;"Ρεπό","Γιάννης",IF(F24&lt;&gt;"Ρεπό","Οδυσσέας",""))</f>
        <v/>
      </c>
      <c r="G28" s="14">
        <f>IF(G20&lt;&gt;"Ρεπό","Γιάννης",IF(G24&lt;&gt;"Ρεπό","Οδυσσέας",""))</f>
        <v/>
      </c>
      <c r="H28" s="14">
        <f>IF(H20&lt;&gt;"Ρεπό","Γιάννης",IF(H24&lt;&gt;"Ρεπό","Οδυσσέας",""))</f>
        <v/>
      </c>
      <c r="I28" s="14">
        <f>IF(I20&lt;&gt;"Ρεπό","Γιάννης",IF(I24&lt;&gt;"Ρεπό","Οδυσσέας",""))</f>
        <v/>
      </c>
    </row>
    <row r="29">
      <c r="A29" s="11" t="inlineStr">
        <is>
          <t>Infinity Pool</t>
        </is>
      </c>
      <c r="C29" s="14">
        <f>IF(AND(C20&lt;&gt;"Ρεπό",C24&lt;&gt;"Ρεπό"),"Οδυσσέας",IF(=IFERROR(INDEX(C20:C25,MATCH(Παράμετροι!$B$14,$A20:$A25,0)),"Ρεπό")&lt;&gt;"Ρεπό",Παράμετροι!$B$14,""))</f>
        <v/>
      </c>
      <c r="D29" s="14">
        <f>IF(AND(D20&lt;&gt;"Ρεπό",D24&lt;&gt;"Ρεπό"),"Οδυσσέας",IF(=IFERROR(INDEX(D20:D25,MATCH(Παράμετροι!$B$14,$A20:$A25,0)),"Ρεπό")&lt;&gt;"Ρεπό",Παράμετροι!$B$14,""))</f>
        <v/>
      </c>
      <c r="E29" s="14">
        <f>IF(AND(E20&lt;&gt;"Ρεπό",E24&lt;&gt;"Ρεπό"),"Οδυσσέας",IF(=IFERROR(INDEX(E20:E25,MATCH(Παράμετροι!$B$14,$A20:$A25,0)),"Ρεπό")&lt;&gt;"Ρεπό",Παράμετροι!$B$14,""))</f>
        <v/>
      </c>
      <c r="F29" s="14">
        <f>IF(AND(F20&lt;&gt;"Ρεπό",F24&lt;&gt;"Ρεπό"),"Οδυσσέας",IF(=IFERROR(INDEX(F20:F25,MATCH(Παράμετροι!$B$14,$A20:$A25,0)),"Ρεπό")&lt;&gt;"Ρεπό",Παράμετροι!$B$14,""))</f>
        <v/>
      </c>
      <c r="G29" s="14">
        <f>IF(AND(G20&lt;&gt;"Ρεπό",G24&lt;&gt;"Ρεπό"),"Οδυσσέας",IF(=IFERROR(INDEX(G20:G25,MATCH(Παράμετροι!$B$14,$A20:$A25,0)),"Ρεπό")&lt;&gt;"Ρεπό",Παράμετροι!$B$14,""))</f>
        <v/>
      </c>
      <c r="H29" s="14">
        <f>IF(AND(H20&lt;&gt;"Ρεπό",H24&lt;&gt;"Ρεπό"),"Οδυσσέας",IF(=IFERROR(INDEX(H20:H25,MATCH(Παράμετροι!$B$14,$A20:$A25,0)),"Ρεπό")&lt;&gt;"Ρεπό",Παράμετροι!$B$14,""))</f>
        <v/>
      </c>
      <c r="I29" s="14">
        <f>IF(AND(I20&lt;&gt;"Ρεπό",I24&lt;&gt;"Ρεπό"),"Οδυσσέας",IF(=IFERROR(INDEX(I20:I25,MATCH(Παράμετροι!$B$14,$A20:$A25,0)),"Ρεπό")&lt;&gt;"Ρεπό",Παράμετροι!$B$14,""))</f>
        <v/>
      </c>
    </row>
    <row r="30">
      <c r="A30" s="11" t="inlineStr">
        <is>
          <t>Main Pool</t>
        </is>
      </c>
      <c r="C30" s="14">
        <f>TEXTJOIN(" / ",TRUE,IF(C34="Main Pool",$A34,""),IF(C35="Main Pool",$A35,""),IF(C36="Main Pool",$A36,""),IF(C37="Main Pool",$A37,""))</f>
        <v/>
      </c>
      <c r="D30" s="14">
        <f>TEXTJOIN(" / ",TRUE,IF(D34="Main Pool",$A34,""),IF(D35="Main Pool",$A35,""),IF(D36="Main Pool",$A36,""),IF(D37="Main Pool",$A37,""))</f>
        <v/>
      </c>
      <c r="E30" s="14">
        <f>TEXTJOIN(" / ",TRUE,IF(E34="Main Pool",$A34,""),IF(E35="Main Pool",$A35,""),IF(E36="Main Pool",$A36,""),IF(E37="Main Pool",$A37,""))</f>
        <v/>
      </c>
      <c r="F30" s="14">
        <f>TEXTJOIN(" / ",TRUE,IF(F34="Main Pool",$A34,""),IF(F35="Main Pool",$A35,""),IF(F36="Main Pool",$A36,""),IF(F37="Main Pool",$A37,""))</f>
        <v/>
      </c>
      <c r="G30" s="14">
        <f>TEXTJOIN(" / ",TRUE,IF(G34="Main Pool",$A34,""),IF(G35="Main Pool",$A35,""),IF(G36="Main Pool",$A36,""),IF(G37="Main Pool",$A37,""))</f>
        <v/>
      </c>
      <c r="H30" s="14">
        <f>TEXTJOIN(" / ",TRUE,IF(H34="Main Pool",$A34,""),IF(H35="Main Pool",$A35,""),IF(H36="Main Pool",$A36,""),IF(H37="Main Pool",$A37,""))</f>
        <v/>
      </c>
      <c r="I30" s="14">
        <f>TEXTJOIN(" / ",TRUE,IF(I34="Main Pool",$A34,""),IF(I35="Main Pool",$A35,""),IF(I36="Main Pool",$A36,""),IF(I37="Main Pool",$A37,""))</f>
        <v/>
      </c>
    </row>
    <row r="31">
      <c r="A31" s="11" t="inlineStr">
        <is>
          <t>Splash Pool</t>
        </is>
      </c>
      <c r="C31" s="14">
        <f>TEXTJOIN(" / ",TRUE,IF(C34="Splash Pool",$A34,""),IF(C35="Splash Pool",$A35,""),IF(C36="Splash Pool",$A36,""),IF(C37="Splash Pool",$A37,""))</f>
        <v/>
      </c>
      <c r="D31" s="14">
        <f>TEXTJOIN(" / ",TRUE,IF(D34="Splash Pool",$A34,""),IF(D35="Splash Pool",$A35,""),IF(D36="Splash Pool",$A36,""),IF(D37="Splash Pool",$A37,""))</f>
        <v/>
      </c>
      <c r="E31" s="14">
        <f>TEXTJOIN(" / ",TRUE,IF(E34="Splash Pool",$A34,""),IF(E35="Splash Pool",$A35,""),IF(E36="Splash Pool",$A36,""),IF(E37="Splash Pool",$A37,""))</f>
        <v/>
      </c>
      <c r="F31" s="14">
        <f>TEXTJOIN(" / ",TRUE,IF(F34="Splash Pool",$A34,""),IF(F35="Splash Pool",$A35,""),IF(F36="Splash Pool",$A36,""),IF(F37="Splash Pool",$A37,""))</f>
        <v/>
      </c>
      <c r="G31" s="14">
        <f>TEXTJOIN(" / ",TRUE,IF(G34="Splash Pool",$A34,""),IF(G35="Splash Pool",$A35,""),IF(G36="Splash Pool",$A36,""),IF(G37="Splash Pool",$A37,""))</f>
        <v/>
      </c>
      <c r="H31" s="14">
        <f>TEXTJOIN(" / ",TRUE,IF(H34="Splash Pool",$A34,""),IF(H35="Splash Pool",$A35,""),IF(H36="Splash Pool",$A36,""),IF(H37="Splash Pool",$A37,""))</f>
        <v/>
      </c>
      <c r="I31" s="14">
        <f>TEXTJOIN(" / ",TRUE,IF(I34="Splash Pool",$A34,""),IF(I35="Splash Pool",$A35,""),IF(I36="Splash Pool",$A36,""),IF(I37="Splash Pool",$A37,""))</f>
        <v/>
      </c>
    </row>
    <row r="34">
      <c r="A34" s="15" t="inlineStr">
        <is>
          <t>Γιώτα</t>
        </is>
      </c>
      <c r="C34">
        <f>IF(C21="Ρεπό","",IF(MOD(WEEKDAY(C$4,2)-1+0,2)=0,"Main Pool","Splash Pool"))</f>
        <v/>
      </c>
      <c r="D34">
        <f>IF(D21="Ρεπό","",IF(MOD(WEEKDAY(D$4,2)-1+0,2)=0,"Main Pool","Splash Pool"))</f>
        <v/>
      </c>
      <c r="E34">
        <f>IF(E21="Ρεπό","",IF(MOD(WEEKDAY(E$4,2)-1+0,2)=0,"Main Pool","Splash Pool"))</f>
        <v/>
      </c>
      <c r="F34">
        <f>IF(F21="Ρεπό","",IF(MOD(WEEKDAY(F$4,2)-1+0,2)=0,"Main Pool","Splash Pool"))</f>
        <v/>
      </c>
      <c r="G34">
        <f>IF(G21="Ρεπό","",IF(MOD(WEEKDAY(G$4,2)-1+0,2)=0,"Main Pool","Splash Pool"))</f>
        <v/>
      </c>
      <c r="H34">
        <f>IF(H21="Ρεπό","",IF(MOD(WEEKDAY(H$4,2)-1+0,2)=0,"Main Pool","Splash Pool"))</f>
        <v/>
      </c>
      <c r="I34">
        <f>IF(I21="Ρεπό","",IF(MOD(WEEKDAY(I$4,2)-1+0,2)=0,"Main Pool","Splash Pool"))</f>
        <v/>
      </c>
    </row>
    <row r="35">
      <c r="A35" s="4" t="inlineStr">
        <is>
          <t>ΒΟΗΘΗΤΙΚΟΣ ΠΙΝΑΚΑΣ ΩΡΩΝ</t>
        </is>
      </c>
      <c r="C35">
        <f>IF(C22="Ρεπό","",IF(MOD(WEEKDAY(C$4,2)-1+1,2)=0,"Main Pool","Splash Pool"))</f>
        <v/>
      </c>
      <c r="D35">
        <f>IF(D22="Ρεπό","",IF(MOD(WEEKDAY(D$4,2)-1+1,2)=0,"Main Pool","Splash Pool"))</f>
        <v/>
      </c>
      <c r="E35">
        <f>IF(E22="Ρεπό","",IF(MOD(WEEKDAY(E$4,2)-1+1,2)=0,"Main Pool","Splash Pool"))</f>
        <v/>
      </c>
      <c r="F35">
        <f>IF(F22="Ρεπό","",IF(MOD(WEEKDAY(F$4,2)-1+1,2)=0,"Main Pool","Splash Pool"))</f>
        <v/>
      </c>
      <c r="G35">
        <f>IF(G22="Ρεπό","",IF(MOD(WEEKDAY(G$4,2)-1+1,2)=0,"Main Pool","Splash Pool"))</f>
        <v/>
      </c>
      <c r="H35">
        <f>IF(H22="Ρεπό","",IF(MOD(WEEKDAY(H$4,2)-1+1,2)=0,"Main Pool","Splash Pool"))</f>
        <v/>
      </c>
      <c r="I35">
        <f>IF(I22="Ρεπό","",IF(MOD(WEEKDAY(I$4,2)-1+1,2)=0,"Main Pool","Splash Pool"))</f>
        <v/>
      </c>
    </row>
    <row r="36">
      <c r="A36" s="11" t="inlineStr">
        <is>
          <t>Γιάννης</t>
        </is>
      </c>
      <c r="C36" s="12">
        <f>IF(C20="Ρεπό","",IF(C12="Άνοιγμα",Παράμετροι!$B$17,Παράμετροι!$B$19))</f>
        <v/>
      </c>
      <c r="D36" s="12">
        <f>IF(D20="Ρεπό","",IF(D12="Άνοιγμα",Παράμετροι!$B$17,Παράμετροι!$B$19))</f>
        <v/>
      </c>
      <c r="E36" s="12">
        <f>IF(E20="Ρεπό","",IF(E12="Άνοιγμα",Παράμετροι!$B$17,Παράμετροι!$B$19))</f>
        <v/>
      </c>
      <c r="F36" s="12">
        <f>IF(F20="Ρεπό","",IF(F12="Άνοιγμα",Παράμετροι!$B$17,Παράμετροι!$B$19))</f>
        <v/>
      </c>
      <c r="G36" s="12">
        <f>IF(G20="Ρεπό","",IF(G12="Άνοιγμα",Παράμετροι!$B$17,Παράμετροι!$B$19))</f>
        <v/>
      </c>
      <c r="H36" s="12">
        <f>IF(H20="Ρεπό","",IF(H12="Άνοιγμα",Παράμετροι!$B$17,Παράμετροι!$B$19))</f>
        <v/>
      </c>
      <c r="I36" s="12">
        <f>IF(I20="Ρεπό","",IF(I12="Άνοιγμα",Παράμετροι!$B$17,Παράμετροι!$B$19))</f>
        <v/>
      </c>
    </row>
    <row r="37">
      <c r="A37" s="11" t="inlineStr">
        <is>
          <t>Γιώτα</t>
        </is>
      </c>
      <c r="C37" s="12">
        <f>IF(C21="Ρεπό","",IF(C21="Άνοιγμα",Παράμετροι!$B$17,Παράμετροι!$B$18))</f>
        <v/>
      </c>
      <c r="D37" s="12">
        <f>IF(D21="Ρεπό","",IF(D21="Άνοιγμα",Παράμετροι!$B$17,Παράμετροι!$B$18))</f>
        <v/>
      </c>
      <c r="E37" s="12">
        <f>IF(E21="Ρεπό","",IF(E21="Άνοιγμα",Παράμετροι!$B$17,Παράμετροι!$B$18))</f>
        <v/>
      </c>
      <c r="F37" s="12">
        <f>IF(F21="Ρεπό","",IF(F21="Άνοιγμα",Παράμετροι!$B$17,Παράμετροι!$B$18))</f>
        <v/>
      </c>
      <c r="G37" s="12">
        <f>IF(G21="Ρεπό","",IF(G21="Άνοιγμα",Παράμετροι!$B$17,Παράμετροι!$B$18))</f>
        <v/>
      </c>
      <c r="H37" s="12">
        <f>IF(H21="Ρεπό","",IF(H21="Άνοιγμα",Παράμετροι!$B$17,Παράμετροι!$B$18))</f>
        <v/>
      </c>
      <c r="I37" s="12">
        <f>IF(I21="Ρεπό","",IF(I21="Άνοιγμα",Παράμετροι!$B$17,Παράμετροι!$B$18))</f>
        <v/>
      </c>
    </row>
    <row r="38">
      <c r="A38" s="11" t="inlineStr">
        <is>
          <t>Ραφαήλ</t>
        </is>
      </c>
      <c r="C38" s="12">
        <f>IF(C22="Ρεπό","",IF(C22="Άνοιγμα",Παράμετροι!$B$17,Παράμετροι!$B$18))</f>
        <v/>
      </c>
      <c r="D38" s="12">
        <f>IF(D22="Ρεπό","",IF(D22="Άνοιγμα",Παράμετροι!$B$17,Παράμετροι!$B$18))</f>
        <v/>
      </c>
      <c r="E38" s="12">
        <f>IF(E22="Ρεπό","",IF(E22="Άνοιγμα",Παράμετροι!$B$17,Παράμετροι!$B$18))</f>
        <v/>
      </c>
      <c r="F38" s="12">
        <f>IF(F22="Ρεπό","",IF(F22="Άνοιγμα",Παράμετροι!$B$17,Παράμετροι!$B$18))</f>
        <v/>
      </c>
      <c r="G38" s="12">
        <f>IF(G22="Ρεπό","",IF(G22="Άνοιγμα",Παράμετροι!$B$17,Παράμετροι!$B$18))</f>
        <v/>
      </c>
      <c r="H38" s="12">
        <f>IF(H22="Ρεπό","",IF(H22="Άνοιγμα",Παράμετροι!$B$17,Παράμετροι!$B$18))</f>
        <v/>
      </c>
      <c r="I38" s="12">
        <f>IF(I22="Ρεπό","",IF(I22="Άνοιγμα",Παράμετροι!$B$17,Παράμετροι!$B$18))</f>
        <v/>
      </c>
    </row>
    <row r="39">
      <c r="A39" s="11" t="inlineStr">
        <is>
          <t>Άρης</t>
        </is>
      </c>
      <c r="C39" s="12">
        <f>IF(C23="Ρεπό","",IF(C23="Άνοιγμα",Παράμετροι!$B$17,Παράμετροι!$B$18))</f>
        <v/>
      </c>
      <c r="D39" s="12">
        <f>IF(D23="Ρεπό","",IF(D23="Άνοιγμα",Παράμετροι!$B$17,Παράμετροι!$B$18))</f>
        <v/>
      </c>
      <c r="E39" s="12">
        <f>IF(E23="Ρεπό","",IF(E23="Άνοιγμα",Παράμετροι!$B$17,Παράμετροι!$B$18))</f>
        <v/>
      </c>
      <c r="F39" s="12">
        <f>IF(F23="Ρεπό","",IF(F23="Άνοιγμα",Παράμετροι!$B$17,Παράμετροι!$B$18))</f>
        <v/>
      </c>
      <c r="G39" s="12">
        <f>IF(G23="Ρεπό","",IF(G23="Άνοιγμα",Παράμετροι!$B$17,Παράμετροι!$B$18))</f>
        <v/>
      </c>
      <c r="H39" s="12">
        <f>IF(H23="Ρεπό","",IF(H23="Άνοιγμα",Παράμετροι!$B$17,Παράμετροι!$B$18))</f>
        <v/>
      </c>
      <c r="I39" s="12">
        <f>IF(I23="Ρεπό","",IF(I23="Άνοιγμα",Παράμετροι!$B$17,Παράμετροι!$B$18))</f>
        <v/>
      </c>
    </row>
    <row r="40">
      <c r="A40" s="11" t="inlineStr">
        <is>
          <t>Οδυσσέας</t>
        </is>
      </c>
      <c r="C40" s="12">
        <f>IF(C24="Ρεπό","",IF(C24="Άνοιγμα",Παράμετροι!$B$17,Παράμετροι!$B$18))</f>
        <v/>
      </c>
      <c r="D40" s="12">
        <f>IF(D24="Ρεπό","",IF(D24="Άνοιγμα",Παράμετροι!$B$17,Παράμετροι!$B$18))</f>
        <v/>
      </c>
      <c r="E40" s="12">
        <f>IF(E24="Ρεπό","",IF(E24="Άνοιγμα",Παράμετροι!$B$17,Παράμετροι!$B$18))</f>
        <v/>
      </c>
      <c r="F40" s="12">
        <f>IF(F24="Ρεπό","",IF(F24="Άνοιγμα",Παράμετροι!$B$17,Παράμετροι!$B$18))</f>
        <v/>
      </c>
      <c r="G40" s="12">
        <f>IF(G24="Ρεπό","",IF(G24="Άνοιγμα",Παράμετροι!$B$17,Παράμετροι!$B$18))</f>
        <v/>
      </c>
      <c r="H40" s="12">
        <f>IF(H24="Ρεπό","",IF(H24="Άνοιγμα",Παράμετροι!$B$17,Παράμετροι!$B$18))</f>
        <v/>
      </c>
      <c r="I40" s="12">
        <f>IF(I24="Ρεπό","",IF(I24="Άνοιγμα",Παράμετροι!$B$17,Παράμετροι!$B$18))</f>
        <v/>
      </c>
    </row>
    <row r="41">
      <c r="A41" s="11" t="inlineStr">
        <is>
          <t>Κώστας</t>
        </is>
      </c>
      <c r="C41" s="12">
        <f>IF(C25="Ρεπό","",IF(C25="Άνοιγμα",Παράμετροι!$B$17,Παράμετροι!$B$18))</f>
        <v/>
      </c>
      <c r="D41" s="12">
        <f>IF(D25="Ρεπό","",IF(D25="Άνοιγμα",Παράμετροι!$B$17,Παράμετροι!$B$18))</f>
        <v/>
      </c>
      <c r="E41" s="12">
        <f>IF(E25="Ρεπό","",IF(E25="Άνοιγμα",Παράμετροι!$B$17,Παράμετροι!$B$18))</f>
        <v/>
      </c>
      <c r="F41" s="12">
        <f>IF(F25="Ρεπό","",IF(F25="Άνοιγμα",Παράμετροι!$B$17,Παράμετροι!$B$18))</f>
        <v/>
      </c>
      <c r="G41" s="12">
        <f>IF(G25="Ρεπό","",IF(G25="Άνοιγμα",Παράμετροι!$B$17,Παράμετροι!$B$18))</f>
        <v/>
      </c>
      <c r="H41" s="12">
        <f>IF(H25="Ρεπό","",IF(H25="Άνοιγμα",Παράμετροι!$B$17,Παράμετροι!$B$18))</f>
        <v/>
      </c>
      <c r="I41" s="12">
        <f>IF(I25="Ρεπό","",IF(I25="Άνοιγμα",Παράμετροι!$B$17,Παράμετροι!$B$18))</f>
        <v/>
      </c>
    </row>
    <row r="46">
      <c r="A46" s="4" t="inlineStr">
        <is>
          <t>Έλεγχος Ανοίγματος (≥1)</t>
        </is>
      </c>
      <c r="C46" s="12">
        <f>COUNTIF(C20:C25,"Άνοιγμα")</f>
        <v/>
      </c>
      <c r="D46" s="12">
        <f>COUNTIF(D20:D25,"Άνοιγμα")</f>
        <v/>
      </c>
      <c r="E46" s="12">
        <f>COUNTIF(E20:E25,"Άνοιγμα")</f>
        <v/>
      </c>
      <c r="F46" s="12">
        <f>COUNTIF(F20:F25,"Άνοιγμα")</f>
        <v/>
      </c>
      <c r="G46" s="12">
        <f>COUNTIF(G20:G25,"Άνοιγμα")</f>
        <v/>
      </c>
      <c r="H46" s="12">
        <f>COUNTIF(H20:H25,"Άνοιγμα")</f>
        <v/>
      </c>
      <c r="I46" s="12">
        <f>COUNTIF(I20:I25,"Άνοιγμα")</f>
        <v/>
      </c>
    </row>
    <row r="47">
      <c r="A47" s="4" t="inlineStr">
        <is>
          <t>Έλεγχος Κλεισίματος (≥3)</t>
        </is>
      </c>
      <c r="C47" s="12">
        <f>COUNTIF(C20:C25,"Κλείσιμο")</f>
        <v/>
      </c>
      <c r="D47" s="12">
        <f>COUNTIF(D20:D25,"Κλείσιμο")</f>
        <v/>
      </c>
      <c r="E47" s="12">
        <f>COUNTIF(E20:E25,"Κλείσιμο")</f>
        <v/>
      </c>
      <c r="F47" s="12">
        <f>COUNTIF(F20:F25,"Κλείσιμο")</f>
        <v/>
      </c>
      <c r="G47" s="12">
        <f>COUNTIF(G20:G25,"Κλείσιμο")</f>
        <v/>
      </c>
      <c r="H47" s="12">
        <f>COUNTIF(H20:H25,"Κλείσιμο")</f>
        <v/>
      </c>
      <c r="I47" s="12">
        <f>COUNTIF(I20:I25,"Κλείσιμο")</f>
        <v/>
      </c>
    </row>
  </sheetData>
  <mergeCells count="5">
    <mergeCell ref="A19:B19"/>
    <mergeCell ref="A11:B11"/>
    <mergeCell ref="A1:I1"/>
    <mergeCell ref="A27:B27"/>
    <mergeCell ref="A35:B35"/>
  </mergeCells>
  <conditionalFormatting sqref="C20:I25">
    <cfRule type="expression" priority="1" dxfId="0">
      <formula>C20="Ρεπό"</formula>
    </cfRule>
    <cfRule type="expression" priority="2" dxfId="1">
      <formula>C20="Άνοιγμα"</formula>
    </cfRule>
    <cfRule type="expression" priority="3" dxfId="2">
      <formula>C20="Κλείσιμο"</formula>
    </cfRule>
  </conditionalFormatting>
  <conditionalFormatting sqref="C36:I36">
    <cfRule type="expression" priority="4" dxfId="0">
      <formula>INDIRECT(ADDRESS(ROW()-16,COLUMN()))="Ρεπό"</formula>
    </cfRule>
    <cfRule type="expression" priority="5" dxfId="1">
      <formula>INDIRECT(ADDRESS(ROW()-16,COLUMN()))="Άνοιγμα"</formula>
    </cfRule>
    <cfRule type="expression" priority="6" dxfId="2">
      <formula>AND(INDIRECT(ADDRESS(ROW()-16,COLUMN()))&lt;&gt;"Ρεπό",INDIRECT(ADDRESS(ROW()-16,COLUMN()))&lt;&gt;"Άνοιγμα")</formula>
    </cfRule>
  </conditionalFormatting>
  <conditionalFormatting sqref="C37:I37">
    <cfRule type="expression" priority="7" dxfId="0">
      <formula>INDIRECT(ADDRESS(ROW()-16,COLUMN()))="Ρεπό"</formula>
    </cfRule>
    <cfRule type="expression" priority="8" dxfId="1">
      <formula>INDIRECT(ADDRESS(ROW()-16,COLUMN()))="Άνοιγμα"</formula>
    </cfRule>
    <cfRule type="expression" priority="9" dxfId="2">
      <formula>AND(INDIRECT(ADDRESS(ROW()-16,COLUMN()))&lt;&gt;"Ρεπό",INDIRECT(ADDRESS(ROW()-16,COLUMN()))&lt;&gt;"Άνοιγμα")</formula>
    </cfRule>
  </conditionalFormatting>
  <conditionalFormatting sqref="C38:I38">
    <cfRule type="expression" priority="10" dxfId="0">
      <formula>INDIRECT(ADDRESS(ROW()-16,COLUMN()))="Ρεπό"</formula>
    </cfRule>
    <cfRule type="expression" priority="11" dxfId="1">
      <formula>INDIRECT(ADDRESS(ROW()-16,COLUMN()))="Άνοιγμα"</formula>
    </cfRule>
    <cfRule type="expression" priority="12" dxfId="2">
      <formula>AND(INDIRECT(ADDRESS(ROW()-16,COLUMN()))&lt;&gt;"Ρεπό",INDIRECT(ADDRESS(ROW()-16,COLUMN()))&lt;&gt;"Άνοιγμα")</formula>
    </cfRule>
  </conditionalFormatting>
  <conditionalFormatting sqref="C39:I39">
    <cfRule type="expression" priority="13" dxfId="0">
      <formula>INDIRECT(ADDRESS(ROW()-16,COLUMN()))="Ρεπό"</formula>
    </cfRule>
    <cfRule type="expression" priority="14" dxfId="1">
      <formula>INDIRECT(ADDRESS(ROW()-16,COLUMN()))="Άνοιγμα"</formula>
    </cfRule>
    <cfRule type="expression" priority="15" dxfId="2">
      <formula>AND(INDIRECT(ADDRESS(ROW()-16,COLUMN()))&lt;&gt;"Ρεπό",INDIRECT(ADDRESS(ROW()-16,COLUMN()))&lt;&gt;"Άνοιγμα")</formula>
    </cfRule>
  </conditionalFormatting>
  <conditionalFormatting sqref="C40:I40">
    <cfRule type="expression" priority="16" dxfId="0">
      <formula>INDIRECT(ADDRESS(ROW()-16,COLUMN()))="Ρεπό"</formula>
    </cfRule>
    <cfRule type="expression" priority="17" dxfId="1">
      <formula>INDIRECT(ADDRESS(ROW()-16,COLUMN()))="Άνοιγμα"</formula>
    </cfRule>
    <cfRule type="expression" priority="18" dxfId="2">
      <formula>AND(INDIRECT(ADDRESS(ROW()-16,COLUMN()))&lt;&gt;"Ρεπό",INDIRECT(ADDRESS(ROW()-16,COLUMN()))&lt;&gt;"Άνοιγμα")</formula>
    </cfRule>
  </conditionalFormatting>
  <conditionalFormatting sqref="C41:I41">
    <cfRule type="expression" priority="19" dxfId="0">
      <formula>INDIRECT(ADDRESS(ROW()-16,COLUMN()))="Ρεπό"</formula>
    </cfRule>
    <cfRule type="expression" priority="20" dxfId="1">
      <formula>INDIRECT(ADDRESS(ROW()-16,COLUMN()))="Άνοιγμα"</formula>
    </cfRule>
    <cfRule type="expression" priority="21" dxfId="2">
      <formula>AND(INDIRECT(ADDRESS(ROW()-16,COLUMN()))&lt;&gt;"Ρεπό",INDIRECT(ADDRESS(ROW()-16,COLUMN()))&lt;&gt;"Άνοιγμα")</formula>
    </cfRule>
  </conditionalFormatting>
  <conditionalFormatting sqref="C46:I46">
    <cfRule type="expression" priority="22" dxfId="3">
      <formula>C46&lt;1</formula>
    </cfRule>
    <cfRule type="expression" priority="23" dxfId="4">
      <formula>C46&gt;=1</formula>
    </cfRule>
  </conditionalFormatting>
  <conditionalFormatting sqref="C47:I47">
    <cfRule type="expression" priority="24" dxfId="3">
      <formula>C47&lt;3</formula>
    </cfRule>
    <cfRule type="expression" priority="25" dxfId="4">
      <formula>C47&gt;=3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2026-07-14T13:13:51Z</dcterms:created>
  <dcterms:modified xsi:type="dcterms:W3CDTF">2026-07-14T13:13:51Z</dcterms:modified>
</cp:coreProperties>
</file>